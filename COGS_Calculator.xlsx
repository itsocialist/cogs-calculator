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GS Calculator" state="visible" r:id="rId4"/>
  </sheets>
  <calcPr calcId="171027"/>
</workbook>
</file>

<file path=xl/sharedStrings.xml><?xml version="1.0" encoding="utf-8"?>
<sst xmlns="http://schemas.openxmlformats.org/spreadsheetml/2006/main" count="66" uniqueCount="45">
  <si>
    <t>DAWSON BROS. COGS Calculator</t>
  </si>
  <si>
    <t>Item / Parameter</t>
  </si>
  <si>
    <t>Cost / Unit</t>
  </si>
  <si>
    <t>Quantity</t>
  </si>
  <si>
    <t>Spec / %</t>
  </si>
  <si>
    <t>Total Batch Cost</t>
  </si>
  <si>
    <t/>
  </si>
  <si>
    <t>Notes</t>
  </si>
  <si>
    <t>BATCH CONFIGURATION</t>
  </si>
  <si>
    <t>Batch Size (kg)</t>
  </si>
  <si>
    <t>Unit Size (g)</t>
  </si>
  <si>
    <t>Labor Rate ($/hr)</t>
  </si>
  <si>
    <t>Labor Hours</t>
  </si>
  <si>
    <t>Target Potency (mg)</t>
  </si>
  <si>
    <t>Fulfillment Cost</t>
  </si>
  <si>
    <t>Est. Units Produced</t>
  </si>
  <si>
    <t>ACTIVE INGREDIENTS</t>
  </si>
  <si>
    <t>CBD Isolate</t>
  </si>
  <si>
    <t>CBG Distillate</t>
  </si>
  <si>
    <t>INACTIVE INGREDIENTS</t>
  </si>
  <si>
    <t>Organic Shea Butter</t>
  </si>
  <si>
    <t>Beeswax Pellets</t>
  </si>
  <si>
    <t>MCT Oil</t>
  </si>
  <si>
    <t>Menthol Crystals</t>
  </si>
  <si>
    <t>Lavender Essential Oil</t>
  </si>
  <si>
    <t>PACKAGING</t>
  </si>
  <si>
    <t>Amber Glass Jar (2oz)</t>
  </si>
  <si>
    <t>Plastic Lid (Black)</t>
  </si>
  <si>
    <t>Vinyl Label (Waterproof)</t>
  </si>
  <si>
    <t>Outer Box (Soft Touch)</t>
  </si>
  <si>
    <t>Tamper Seal</t>
  </si>
  <si>
    <t>FINANCIAL SUMMARY</t>
  </si>
  <si>
    <t>Actual Potency (mg)</t>
  </si>
  <si>
    <t>Total Labor</t>
  </si>
  <si>
    <t>Fulfillment</t>
  </si>
  <si>
    <t>Total Ingredients</t>
  </si>
  <si>
    <t>Total Packaging</t>
  </si>
  <si>
    <t>TOTAL COGS</t>
  </si>
  <si>
    <t>PRICING STRATEGY</t>
  </si>
  <si>
    <t>Wholesale Price</t>
  </si>
  <si>
    <t>Wholesale Margin ($)</t>
  </si>
  <si>
    <t>Wholesale Margin (%)</t>
  </si>
  <si>
    <t>MSRP (DTC)</t>
  </si>
  <si>
    <t>Retail Margin ($)</t>
  </si>
  <si>
    <t>Retail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</si>
</sst>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#,##0.0&quot; mg&quot;"/>
  </numFmts>
  <fonts count="6" x14ac:knownFonts="1">
    <font>
      <color theme="1"/>
      <family val="2"/>
      <scheme val="minor"/>
      <sz val="11"/>
      <name val="Calibri"/>
    </font>
    <font>
      <b/>
      <color rgb="FF171717"/>
      <sz val="16"/>
      <name val="Arial"/>
    </font>
    <font>
      <b/>
      <color rgb="FFFFFFFF"/>
      <sz val="10"/>
      <name val="Arial"/>
    </font>
    <font>
      <b/>
      <color rgb="FF171717"/>
      <sz val="11"/>
      <name val="Arial"/>
    </font>
    <font>
      <b/>
    </font>
    <font>
      <b/>
      <color rgb="FF26262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71717"/>
      </patternFill>
    </fill>
    <fill>
      <patternFill patternType="solid">
        <fgColor rgb="FFF3F4F6"/>
      </patternFill>
    </fill>
    <fill>
      <patternFill patternType="solid">
        <fgColor rgb="FFEAB308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medium"/>
      <bottom style="thin">
        <color rgb="FFEAB308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/>
    </xf>
    <xf numFmtId="164" fontId="4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3" fontId="5" fillId="0" borderId="3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15" customWidth="1"/>
    <col min="4" max="4" width="12" customWidth="1"/>
    <col min="5" max="6" width="18" customWidth="1"/>
    <col min="7" max="7" width="2" customWidth="1"/>
    <col min="8" max="8" width="4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5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2</v>
      </c>
      <c r="G3" s="2" t="s">
        <v>6</v>
      </c>
      <c r="H3" s="2" t="s">
        <v>7</v>
      </c>
    </row>
    <row r="4" ht="20" customHeight="1" spans="1:8" x14ac:dyDescent="0.25">
      <c r="A4" s="3" t="s">
        <v>8</v>
      </c>
      <c r="B4"/>
      <c r="C4"/>
      <c r="D4"/>
      <c r="E4"/>
      <c r="F4"/>
      <c r="G4"/>
      <c r="H4"/>
    </row>
    <row r="5" spans="1:8" x14ac:dyDescent="0.25">
      <c r="A5" s="4" t="s">
        <v>9</v>
      </c>
      <c r="B5" s="5"/>
      <c r="C5" s="5">
        <v>10</v>
      </c>
      <c r="D5" s="5"/>
      <c r="E5" s="5"/>
      <c r="F5" s="5"/>
      <c r="H5" s="4" t="s">
        <v>6</v>
      </c>
    </row>
    <row r="6" spans="1:8" x14ac:dyDescent="0.25">
      <c r="A6" s="4" t="s">
        <v>10</v>
      </c>
      <c r="B6" s="5"/>
      <c r="C6" s="5">
        <v>50</v>
      </c>
      <c r="D6" s="5"/>
      <c r="E6" s="5"/>
      <c r="F6" s="5"/>
      <c r="H6" s="4" t="s">
        <v>6</v>
      </c>
    </row>
    <row r="7" spans="1:8" x14ac:dyDescent="0.25">
      <c r="A7" s="4" t="s">
        <v>11</v>
      </c>
      <c r="B7" s="5">
        <v>25</v>
      </c>
      <c r="C7" s="5"/>
      <c r="D7" s="5"/>
      <c r="E7" s="5"/>
      <c r="F7" s="5"/>
      <c r="H7" s="4" t="s">
        <v>6</v>
      </c>
    </row>
    <row r="8" spans="1:8" x14ac:dyDescent="0.25">
      <c r="A8" s="4" t="s">
        <v>12</v>
      </c>
      <c r="B8" s="5"/>
      <c r="C8" s="5">
        <v>6</v>
      </c>
      <c r="D8" s="5"/>
      <c r="E8" s="5"/>
      <c r="F8" s="5"/>
      <c r="H8" s="4" t="s">
        <v>6</v>
      </c>
    </row>
    <row r="9" spans="1:8" x14ac:dyDescent="0.25">
      <c r="A9" s="4" t="s">
        <v>13</v>
      </c>
      <c r="B9" s="5"/>
      <c r="C9" s="5">
        <v>500</v>
      </c>
      <c r="D9" s="5"/>
      <c r="E9" s="5"/>
      <c r="F9" s="5"/>
      <c r="H9" s="4" t="s">
        <v>6</v>
      </c>
    </row>
    <row r="10" spans="1:8" x14ac:dyDescent="0.25">
      <c r="A10" s="4" t="s">
        <v>14</v>
      </c>
      <c r="B10" s="5">
        <v>2.5</v>
      </c>
      <c r="C10" s="5"/>
      <c r="D10" s="5"/>
      <c r="E10" s="5"/>
      <c r="F10" s="5"/>
      <c r="H10" s="4" t="s">
        <v>6</v>
      </c>
    </row>
    <row r="11" spans="1:3" x14ac:dyDescent="0.25">
      <c r="A11" s="6" t="s">
        <v>15</v>
      </c>
      <c r="C11" s="7">
        <f>FLOOR((C5*1000)/C6, 1)</f>
      </c>
    </row>
    <row r="13" ht="20" customHeight="1" spans="1:8" x14ac:dyDescent="0.25">
      <c r="A13" s="3" t="s">
        <v>16</v>
      </c>
      <c r="B13"/>
      <c r="C13"/>
      <c r="D13"/>
      <c r="E13"/>
      <c r="F13"/>
      <c r="G13"/>
      <c r="H13"/>
    </row>
    <row r="14" spans="1:8" x14ac:dyDescent="0.25">
      <c r="A14" s="4" t="s">
        <v>17</v>
      </c>
      <c r="B14" s="5">
        <v>550</v>
      </c>
      <c r="C14" s="5">
        <v>100</v>
      </c>
      <c r="D14" s="5">
        <v>0.995</v>
      </c>
      <c r="E14" s="5">
        <f>(C14/1000)*B14</f>
      </c>
      <c r="F14" s="5"/>
      <c r="H14" s="4" t="s">
        <v>6</v>
      </c>
    </row>
    <row r="15" spans="1:8" x14ac:dyDescent="0.25">
      <c r="A15" s="4" t="s">
        <v>18</v>
      </c>
      <c r="B15" s="5">
        <v>1200</v>
      </c>
      <c r="C15" s="5">
        <v>10</v>
      </c>
      <c r="D15" s="5">
        <v>0.85</v>
      </c>
      <c r="E15" s="5">
        <f>(C15/1000)*B15</f>
      </c>
      <c r="F15" s="5"/>
      <c r="H15" s="4" t="s">
        <v>6</v>
      </c>
    </row>
    <row r="17" ht="20" customHeight="1" spans="1:8" x14ac:dyDescent="0.25">
      <c r="A17" s="3" t="s">
        <v>19</v>
      </c>
      <c r="B17"/>
      <c r="C17"/>
      <c r="D17"/>
      <c r="E17"/>
      <c r="F17"/>
      <c r="G17"/>
      <c r="H17"/>
    </row>
    <row r="18" spans="1:8" x14ac:dyDescent="0.25">
      <c r="A18" s="4" t="s">
        <v>20</v>
      </c>
      <c r="B18" s="5">
        <v>18</v>
      </c>
      <c r="C18" s="5">
        <v>4000</v>
      </c>
      <c r="D18" s="5"/>
      <c r="E18" s="5">
        <f>(C18/1000)*B18</f>
      </c>
      <c r="F18" s="5"/>
      <c r="H18" s="4" t="s">
        <v>6</v>
      </c>
    </row>
    <row r="19" spans="1:8" x14ac:dyDescent="0.25">
      <c r="A19" s="4" t="s">
        <v>21</v>
      </c>
      <c r="B19" s="5">
        <v>22</v>
      </c>
      <c r="C19" s="5">
        <v>2500</v>
      </c>
      <c r="D19" s="5"/>
      <c r="E19" s="5">
        <f>(C19/1000)*B19</f>
      </c>
      <c r="F19" s="5"/>
      <c r="H19" s="4" t="s">
        <v>6</v>
      </c>
    </row>
    <row r="20" spans="1:8" x14ac:dyDescent="0.25">
      <c r="A20" s="4" t="s">
        <v>22</v>
      </c>
      <c r="B20" s="5">
        <v>12</v>
      </c>
      <c r="C20" s="5">
        <v>3200</v>
      </c>
      <c r="D20" s="5"/>
      <c r="E20" s="5">
        <f>(C20/1000)*B20</f>
      </c>
      <c r="F20" s="5"/>
      <c r="H20" s="4" t="s">
        <v>6</v>
      </c>
    </row>
    <row r="21" spans="1:8" x14ac:dyDescent="0.25">
      <c r="A21" s="4" t="s">
        <v>23</v>
      </c>
      <c r="B21" s="5">
        <v>45</v>
      </c>
      <c r="C21" s="5">
        <v>150</v>
      </c>
      <c r="D21" s="5"/>
      <c r="E21" s="5">
        <f>(C21/1000)*B21</f>
      </c>
      <c r="F21" s="5"/>
      <c r="H21" s="4" t="s">
        <v>6</v>
      </c>
    </row>
    <row r="22" spans="1:8" x14ac:dyDescent="0.25">
      <c r="A22" s="4" t="s">
        <v>24</v>
      </c>
      <c r="B22" s="5">
        <v>120</v>
      </c>
      <c r="C22" s="5">
        <v>50</v>
      </c>
      <c r="D22" s="5"/>
      <c r="E22" s="5">
        <f>(C22/1000)*B22</f>
      </c>
      <c r="F22" s="5"/>
      <c r="H22" s="4" t="s">
        <v>6</v>
      </c>
    </row>
    <row r="24" ht="20" customHeight="1" spans="1:8" x14ac:dyDescent="0.25">
      <c r="A24" s="3" t="s">
        <v>25</v>
      </c>
      <c r="B24"/>
      <c r="C24"/>
      <c r="D24"/>
      <c r="E24"/>
      <c r="F24"/>
      <c r="G24"/>
      <c r="H24"/>
    </row>
    <row r="25" spans="1:8" x14ac:dyDescent="0.25">
      <c r="A25" s="4" t="s">
        <v>26</v>
      </c>
      <c r="B25" s="5">
        <v>1.15</v>
      </c>
      <c r="C25" s="5"/>
      <c r="D25" s="5"/>
      <c r="E25" s="5">
        <f>B25*C11</f>
      </c>
      <c r="F25" s="5">
        <f>B25</f>
      </c>
      <c r="H25" s="4" t="s">
        <v>6</v>
      </c>
    </row>
    <row r="26" spans="1:8" x14ac:dyDescent="0.25">
      <c r="A26" s="4" t="s">
        <v>27</v>
      </c>
      <c r="B26" s="5">
        <v>0.25</v>
      </c>
      <c r="C26" s="5"/>
      <c r="D26" s="5"/>
      <c r="E26" s="5">
        <f>B26*C11</f>
      </c>
      <c r="F26" s="5">
        <f>B26</f>
      </c>
      <c r="H26" s="4" t="s">
        <v>6</v>
      </c>
    </row>
    <row r="27" spans="1:8" x14ac:dyDescent="0.25">
      <c r="A27" s="4" t="s">
        <v>28</v>
      </c>
      <c r="B27" s="5">
        <v>0.18</v>
      </c>
      <c r="C27" s="5"/>
      <c r="D27" s="5"/>
      <c r="E27" s="5">
        <f>B27*C11</f>
      </c>
      <c r="F27" s="5">
        <f>B27</f>
      </c>
      <c r="H27" s="4" t="s">
        <v>6</v>
      </c>
    </row>
    <row r="28" spans="1:8" x14ac:dyDescent="0.25">
      <c r="A28" s="4" t="s">
        <v>29</v>
      </c>
      <c r="B28" s="5">
        <v>0.45</v>
      </c>
      <c r="C28" s="5"/>
      <c r="D28" s="5"/>
      <c r="E28" s="5">
        <f>B28*C11</f>
      </c>
      <c r="F28" s="5">
        <f>B28</f>
      </c>
      <c r="H28" s="4" t="s">
        <v>6</v>
      </c>
    </row>
    <row r="29" spans="1:8" x14ac:dyDescent="0.25">
      <c r="A29" s="4" t="s">
        <v>30</v>
      </c>
      <c r="B29" s="5">
        <v>0.05</v>
      </c>
      <c r="C29" s="5"/>
      <c r="D29" s="5"/>
      <c r="E29" s="5">
        <f>B29*C11</f>
      </c>
      <c r="F29" s="5">
        <f>B29</f>
      </c>
      <c r="H29" s="4" t="s">
        <v>6</v>
      </c>
    </row>
    <row r="31" ht="20" customHeight="1" spans="1:8" x14ac:dyDescent="0.25">
      <c r="A31" s="3" t="s">
        <v>31</v>
      </c>
      <c r="B31"/>
      <c r="C31"/>
      <c r="D31"/>
      <c r="E31"/>
      <c r="F31"/>
      <c r="G31"/>
      <c r="H31"/>
    </row>
    <row r="32" spans="1:3" x14ac:dyDescent="0.25">
      <c r="A32" s="4" t="s">
        <v>32</v>
      </c>
      <c r="C32" s="8">
        <f>SUMPRODUCT(C14:C15,D14:D15)*1000/C11</f>
      </c>
    </row>
    <row r="33" spans="1:6" x14ac:dyDescent="0.25">
      <c r="A33" s="4" t="s">
        <v>33</v>
      </c>
      <c r="E33" s="5">
        <f>B7*C8</f>
      </c>
      <c r="F33" s="5">
        <f>E33/C11</f>
      </c>
    </row>
    <row r="34" spans="1:6" x14ac:dyDescent="0.25">
      <c r="A34" s="4" t="s">
        <v>34</v>
      </c>
      <c r="E34" s="5">
        <f>B10*C11</f>
      </c>
      <c r="F34" s="5">
        <f>B10</f>
      </c>
    </row>
    <row r="35" spans="1:6" x14ac:dyDescent="0.25">
      <c r="A35" s="4" t="s">
        <v>35</v>
      </c>
      <c r="E35" s="5">
        <f>SUM(E14:E15,E18:E22)</f>
      </c>
      <c r="F35" s="5">
        <f>E35/C11</f>
      </c>
    </row>
    <row r="36" spans="1:6" x14ac:dyDescent="0.25">
      <c r="A36" s="4" t="s">
        <v>36</v>
      </c>
      <c r="E36" s="5">
        <f>SUM(E25:E29)</f>
      </c>
      <c r="F36" s="5">
        <f>SUM(F25:F29)</f>
      </c>
    </row>
    <row r="37" spans="1:6" x14ac:dyDescent="0.25">
      <c r="A37" s="9" t="s">
        <v>37</v>
      </c>
      <c r="B37" s="9"/>
      <c r="C37" s="9"/>
      <c r="D37" s="9"/>
      <c r="E37" s="9"/>
      <c r="F37" s="10">
        <f>F33+F34+F35+F36</f>
      </c>
    </row>
    <row r="39" ht="20" customHeight="1" spans="1:8" x14ac:dyDescent="0.25">
      <c r="A39" s="3" t="s">
        <v>38</v>
      </c>
      <c r="B39"/>
      <c r="C39"/>
      <c r="D39"/>
      <c r="E39"/>
      <c r="F39"/>
      <c r="G39"/>
      <c r="H39"/>
    </row>
    <row r="40" spans="1:8" x14ac:dyDescent="0.25">
      <c r="A40" s="4" t="s">
        <v>39</v>
      </c>
      <c r="B40" s="5">
        <v>25</v>
      </c>
      <c r="C40" s="5"/>
      <c r="D40" s="5"/>
      <c r="E40" s="5"/>
      <c r="F40" s="5"/>
      <c r="H40" s="4" t="s">
        <v>6</v>
      </c>
    </row>
    <row r="41" spans="1:6" x14ac:dyDescent="0.25">
      <c r="A41" s="4" t="s">
        <v>40</v>
      </c>
      <c r="F41" s="5">
        <f>B40-F37</f>
      </c>
    </row>
    <row r="42" spans="1:6" x14ac:dyDescent="0.25">
      <c r="A42" s="4" t="s">
        <v>41</v>
      </c>
      <c r="F42" s="5">
        <f>(B40-F37)/B40</f>
      </c>
    </row>
    <row r="44" spans="1:8" x14ac:dyDescent="0.25">
      <c r="A44" s="4" t="s">
        <v>42</v>
      </c>
      <c r="B44" s="5">
        <v>55</v>
      </c>
      <c r="C44" s="5"/>
      <c r="D44" s="5"/>
      <c r="E44" s="5"/>
      <c r="F44" s="5"/>
      <c r="H44" s="4" t="s">
        <v>6</v>
      </c>
    </row>
    <row r="45" spans="1:6" x14ac:dyDescent="0.25">
      <c r="A45" s="4" t="s">
        <v>43</v>
      </c>
      <c r="F45" s="5">
        <f>B44-F37</f>
      </c>
    </row>
    <row r="46" spans="1:6" x14ac:dyDescent="0.25">
      <c r="A46" s="4" t="s">
        <v>44</v>
      </c>
      <c r="F46" s="5">
        <f>(B44-F37)/B44</f>
      </c>
    </row>
  </sheetData>
  <mergeCells count="8">
    <mergeCell ref="A1:H1"/>
    <mergeCell ref="A4:H4"/>
    <mergeCell ref="A13:H13"/>
    <mergeCell ref="A17:H17"/>
    <mergeCell ref="A24:H24"/>
    <mergeCell ref="A31:H31"/>
    <mergeCell ref="A37:E37"/>
    <mergeCell ref="A39:H39"/>
  </mergeCells>
  <conditionalFormatting sqref="C32">
    <cfRule type="expression" dxfId="0" priority="1">
      <formula>ABS(C32-C9)&gt;(C9*0.1)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COGS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 Bros</dc:creator>
  <dc:title/>
  <dc:subject/>
  <dc:description/>
  <cp:keywords/>
  <cp:category/>
  <cp:lastModifiedBy>COGS Calculator</cp:lastModifiedBy>
  <dcterms:created xsi:type="dcterms:W3CDTF">2025-12-26T21:11:52Z</dcterms:created>
  <dcterms:modified xsi:type="dcterms:W3CDTF">2025-12-26T21:11:52Z</dcterms:modified>
</cp:coreProperties>
</file>